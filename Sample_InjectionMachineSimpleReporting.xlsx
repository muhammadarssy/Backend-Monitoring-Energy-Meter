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nleyadema/Downloads/"/>
    </mc:Choice>
  </mc:AlternateContent>
  <xr:revisionPtr revIDLastSave="0" documentId="13_ncr:1_{09BADC33-6AAD-A74A-A9C0-FF913E4ABC76}" xr6:coauthVersionLast="47" xr6:coauthVersionMax="47" xr10:uidLastSave="{00000000-0000-0000-0000-000000000000}"/>
  <bookViews>
    <workbookView xWindow="11980" yWindow="5980" windowWidth="27640" windowHeight="16680" xr2:uid="{F85CD997-78A4-6B4A-88D1-B5958FCBABCC}"/>
  </bookViews>
  <sheets>
    <sheet name="Week" sheetId="1" r:id="rId1"/>
    <sheet name="Month" sheetId="2" r:id="rId2"/>
    <sheet name="Maintenanc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K19" i="2"/>
  <c r="F19" i="2"/>
  <c r="K18" i="2"/>
  <c r="F18" i="2"/>
  <c r="K17" i="2"/>
  <c r="F17" i="2"/>
  <c r="F14" i="2"/>
  <c r="K13" i="2"/>
  <c r="K14" i="2" s="1"/>
  <c r="F13" i="2"/>
  <c r="F15" i="2" s="1"/>
  <c r="K12" i="2"/>
  <c r="F12" i="2"/>
  <c r="F9" i="2"/>
  <c r="K8" i="2"/>
  <c r="F8" i="2"/>
  <c r="K7" i="2"/>
  <c r="K9" i="2" s="1"/>
  <c r="F7" i="2"/>
  <c r="F10" i="2" s="1"/>
  <c r="F5" i="2"/>
  <c r="F4" i="2"/>
  <c r="K3" i="2"/>
  <c r="F3" i="2"/>
  <c r="K2" i="2"/>
  <c r="K4" i="2" s="1"/>
  <c r="F2" i="2"/>
  <c r="K18" i="1"/>
  <c r="K17" i="1"/>
  <c r="K13" i="1"/>
  <c r="K12" i="1"/>
  <c r="K8" i="1"/>
  <c r="K7" i="1"/>
  <c r="K3" i="1"/>
  <c r="K2" i="1"/>
  <c r="K4" i="1" s="1"/>
  <c r="F19" i="1"/>
  <c r="F18" i="1"/>
  <c r="F17" i="1"/>
  <c r="F14" i="1"/>
  <c r="F13" i="1"/>
  <c r="F12" i="1"/>
  <c r="F9" i="1"/>
  <c r="F8" i="1"/>
  <c r="F7" i="1"/>
  <c r="F3" i="1"/>
  <c r="F4" i="1"/>
  <c r="F2" i="1"/>
  <c r="K14" i="1" l="1"/>
  <c r="F10" i="1"/>
  <c r="F5" i="1"/>
  <c r="K19" i="1"/>
  <c r="K9" i="1"/>
  <c r="F20" i="1"/>
  <c r="F15" i="1"/>
</calcChain>
</file>

<file path=xl/sharedStrings.xml><?xml version="1.0" encoding="utf-8"?>
<sst xmlns="http://schemas.openxmlformats.org/spreadsheetml/2006/main" count="67" uniqueCount="24">
  <si>
    <t>MA1600_1</t>
  </si>
  <si>
    <t>MA1600_2</t>
  </si>
  <si>
    <t>MA3200</t>
  </si>
  <si>
    <t>Machine</t>
  </si>
  <si>
    <t>Hours</t>
  </si>
  <si>
    <t>IDR/h</t>
  </si>
  <si>
    <t>Total</t>
  </si>
  <si>
    <t>WBP</t>
  </si>
  <si>
    <t>LWBP</t>
  </si>
  <si>
    <t>kWh</t>
  </si>
  <si>
    <t>IDR/kWh</t>
  </si>
  <si>
    <t>Repair/Maintenance Expenses</t>
  </si>
  <si>
    <t>Name</t>
  </si>
  <si>
    <t>Cost</t>
  </si>
  <si>
    <t>Inverter problem</t>
  </si>
  <si>
    <t>Detail</t>
  </si>
  <si>
    <t>Ganti inverter baru</t>
  </si>
  <si>
    <t>Servoo problem</t>
  </si>
  <si>
    <t>repair existing</t>
  </si>
  <si>
    <t>Date</t>
  </si>
  <si>
    <t>Week# 40</t>
  </si>
  <si>
    <t>Week# 41</t>
  </si>
  <si>
    <t>Week# 42</t>
  </si>
  <si>
    <t>Week#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</si>
</sst>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17" fontId="0" fillId="0" borderId="0" xfId="0" applyNumberFormat="1"/>
    <xf numFmtId="15" fontId="0" fillId="0" borderId="0" xfId="0" applyNumberFormat="1"/>
    <xf numFmtId="0" fontId="2" fillId="0" borderId="0" xfId="0" applyFont="1"/>
    <xf numFmtId="1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9BE9-FCFA-7F43-8892-3BA4F47BCFC1}">
  <dimension ref="A1:Q20"/>
  <sheetViews>
    <sheetView tabSelected="1" workbookViewId="0">
      <selection activeCell="M20" sqref="M20"/>
    </sheetView>
  </sheetViews>
  <sheetFormatPr baseColWidth="10" defaultRowHeight="16" x14ac:dyDescent="0.2"/>
  <cols>
    <col min="10" max="10" width="11.1640625" bestFit="1" customWidth="1"/>
    <col min="14" max="15" width="10.83203125" customWidth="1"/>
  </cols>
  <sheetData>
    <row r="1" spans="1:17" x14ac:dyDescent="0.2">
      <c r="C1" t="s">
        <v>3</v>
      </c>
      <c r="D1" t="s">
        <v>4</v>
      </c>
      <c r="E1" t="s">
        <v>5</v>
      </c>
      <c r="F1" t="s">
        <v>6</v>
      </c>
      <c r="I1" t="s">
        <v>9</v>
      </c>
      <c r="J1" t="s">
        <v>10</v>
      </c>
      <c r="K1" t="s">
        <v>6</v>
      </c>
    </row>
    <row r="2" spans="1:17" x14ac:dyDescent="0.2">
      <c r="A2" t="s">
        <v>20</v>
      </c>
      <c r="B2">
        <v>1</v>
      </c>
      <c r="C2" t="s">
        <v>0</v>
      </c>
      <c r="D2">
        <v>250</v>
      </c>
      <c r="E2" s="1">
        <v>10000</v>
      </c>
      <c r="F2" s="1">
        <f>D2*E2</f>
        <v>2500000</v>
      </c>
      <c r="H2" t="s">
        <v>7</v>
      </c>
      <c r="I2" s="1">
        <v>200</v>
      </c>
      <c r="J2" s="1">
        <v>990</v>
      </c>
      <c r="K2" s="1">
        <f>I2*J2</f>
        <v>198000</v>
      </c>
    </row>
    <row r="3" spans="1:17" x14ac:dyDescent="0.2">
      <c r="B3">
        <v>2</v>
      </c>
      <c r="C3" t="s">
        <v>1</v>
      </c>
      <c r="D3">
        <v>280</v>
      </c>
      <c r="E3" s="1">
        <v>10000</v>
      </c>
      <c r="F3" s="1">
        <f t="shared" ref="F3:F4" si="0">D3*E3</f>
        <v>2800000</v>
      </c>
      <c r="H3" t="s">
        <v>8</v>
      </c>
      <c r="I3" s="1">
        <v>100</v>
      </c>
      <c r="J3" s="1">
        <v>1030</v>
      </c>
      <c r="K3" s="1">
        <f>I3*J3</f>
        <v>103000</v>
      </c>
      <c r="P3" s="4"/>
      <c r="Q3" s="1"/>
    </row>
    <row r="4" spans="1:17" x14ac:dyDescent="0.2">
      <c r="B4">
        <v>3</v>
      </c>
      <c r="C4" t="s">
        <v>2</v>
      </c>
      <c r="D4">
        <v>200</v>
      </c>
      <c r="E4" s="1">
        <v>25000</v>
      </c>
      <c r="F4" s="1">
        <f t="shared" si="0"/>
        <v>5000000</v>
      </c>
      <c r="K4" s="2">
        <f>SUM(K2:K3)</f>
        <v>301000</v>
      </c>
      <c r="P4" s="4"/>
      <c r="Q4" s="1"/>
    </row>
    <row r="5" spans="1:17" x14ac:dyDescent="0.2">
      <c r="F5" s="2">
        <f>SUM(F2:F4)</f>
        <v>10300000</v>
      </c>
    </row>
    <row r="7" spans="1:17" x14ac:dyDescent="0.2">
      <c r="A7" t="s">
        <v>21</v>
      </c>
      <c r="B7">
        <v>1</v>
      </c>
      <c r="C7" t="s">
        <v>0</v>
      </c>
      <c r="D7">
        <v>190</v>
      </c>
      <c r="E7" s="1">
        <v>10000</v>
      </c>
      <c r="F7" s="1">
        <f>D7*E7</f>
        <v>1900000</v>
      </c>
      <c r="H7" t="s">
        <v>7</v>
      </c>
      <c r="I7" s="1">
        <v>200</v>
      </c>
      <c r="J7" s="1">
        <v>990</v>
      </c>
      <c r="K7" s="1">
        <f>I7*J7</f>
        <v>198000</v>
      </c>
    </row>
    <row r="8" spans="1:17" x14ac:dyDescent="0.2">
      <c r="B8">
        <v>2</v>
      </c>
      <c r="C8" t="s">
        <v>1</v>
      </c>
      <c r="D8">
        <v>150</v>
      </c>
      <c r="E8" s="1">
        <v>10000</v>
      </c>
      <c r="F8" s="1">
        <f t="shared" ref="F8:F9" si="1">D8*E8</f>
        <v>1500000</v>
      </c>
      <c r="H8" t="s">
        <v>8</v>
      </c>
      <c r="I8" s="1">
        <v>100</v>
      </c>
      <c r="J8" s="1">
        <v>1030</v>
      </c>
      <c r="K8" s="1">
        <f>I8*J8</f>
        <v>103000</v>
      </c>
    </row>
    <row r="9" spans="1:17" x14ac:dyDescent="0.2">
      <c r="B9">
        <v>3</v>
      </c>
      <c r="C9" t="s">
        <v>2</v>
      </c>
      <c r="D9">
        <v>200</v>
      </c>
      <c r="E9" s="1">
        <v>25000</v>
      </c>
      <c r="F9" s="1">
        <f t="shared" si="1"/>
        <v>5000000</v>
      </c>
      <c r="K9" s="2">
        <f>SUM(K7:K8)</f>
        <v>301000</v>
      </c>
    </row>
    <row r="10" spans="1:17" x14ac:dyDescent="0.2">
      <c r="F10" s="2">
        <f>SUM(F7:F9)</f>
        <v>8400000</v>
      </c>
    </row>
    <row r="12" spans="1:17" x14ac:dyDescent="0.2">
      <c r="A12" t="s">
        <v>22</v>
      </c>
      <c r="B12">
        <v>1</v>
      </c>
      <c r="C12" t="s">
        <v>0</v>
      </c>
      <c r="D12">
        <v>120</v>
      </c>
      <c r="E12" s="1">
        <v>10000</v>
      </c>
      <c r="F12" s="1">
        <f>D12*E12</f>
        <v>1200000</v>
      </c>
      <c r="H12" t="s">
        <v>7</v>
      </c>
      <c r="I12" s="1">
        <v>200</v>
      </c>
      <c r="J12" s="1">
        <v>990</v>
      </c>
      <c r="K12" s="1">
        <f>I12*J12</f>
        <v>198000</v>
      </c>
    </row>
    <row r="13" spans="1:17" x14ac:dyDescent="0.2">
      <c r="B13">
        <v>2</v>
      </c>
      <c r="C13" t="s">
        <v>1</v>
      </c>
      <c r="D13">
        <v>250</v>
      </c>
      <c r="E13" s="1">
        <v>10000</v>
      </c>
      <c r="F13" s="1">
        <f t="shared" ref="F13:F14" si="2">D13*E13</f>
        <v>2500000</v>
      </c>
      <c r="H13" t="s">
        <v>8</v>
      </c>
      <c r="I13" s="1">
        <v>100</v>
      </c>
      <c r="J13" s="1">
        <v>1030</v>
      </c>
      <c r="K13" s="1">
        <f>I13*J13</f>
        <v>103000</v>
      </c>
    </row>
    <row r="14" spans="1:17" x14ac:dyDescent="0.2">
      <c r="B14">
        <v>3</v>
      </c>
      <c r="C14" t="s">
        <v>2</v>
      </c>
      <c r="D14">
        <v>100</v>
      </c>
      <c r="E14" s="1">
        <v>25000</v>
      </c>
      <c r="F14" s="1">
        <f t="shared" si="2"/>
        <v>2500000</v>
      </c>
      <c r="K14" s="2">
        <f>SUM(K12:K13)</f>
        <v>301000</v>
      </c>
    </row>
    <row r="15" spans="1:17" x14ac:dyDescent="0.2">
      <c r="F15" s="2">
        <f>SUM(F12:F14)</f>
        <v>6200000</v>
      </c>
    </row>
    <row r="17" spans="1:11" x14ac:dyDescent="0.2">
      <c r="A17" t="s">
        <v>23</v>
      </c>
      <c r="B17">
        <v>1</v>
      </c>
      <c r="C17" t="s">
        <v>0</v>
      </c>
      <c r="D17">
        <v>140</v>
      </c>
      <c r="E17" s="1">
        <v>10000</v>
      </c>
      <c r="F17" s="1">
        <f>D17*E17</f>
        <v>1400000</v>
      </c>
      <c r="H17" t="s">
        <v>7</v>
      </c>
      <c r="I17" s="1">
        <v>200</v>
      </c>
      <c r="J17" s="1">
        <v>990</v>
      </c>
      <c r="K17" s="1">
        <f>I17*J17</f>
        <v>198000</v>
      </c>
    </row>
    <row r="18" spans="1:11" x14ac:dyDescent="0.2">
      <c r="B18">
        <v>2</v>
      </c>
      <c r="C18" t="s">
        <v>1</v>
      </c>
      <c r="D18">
        <v>160</v>
      </c>
      <c r="E18" s="1">
        <v>10000</v>
      </c>
      <c r="F18" s="1">
        <f t="shared" ref="F18:F19" si="3">D18*E18</f>
        <v>1600000</v>
      </c>
      <c r="H18" t="s">
        <v>8</v>
      </c>
      <c r="I18" s="1">
        <v>100</v>
      </c>
      <c r="J18" s="1">
        <v>1030</v>
      </c>
      <c r="K18" s="1">
        <f>I18*J18</f>
        <v>103000</v>
      </c>
    </row>
    <row r="19" spans="1:11" x14ac:dyDescent="0.2">
      <c r="B19">
        <v>3</v>
      </c>
      <c r="C19" t="s">
        <v>2</v>
      </c>
      <c r="D19">
        <v>200</v>
      </c>
      <c r="E19" s="1">
        <v>25000</v>
      </c>
      <c r="F19" s="1">
        <f t="shared" si="3"/>
        <v>5000000</v>
      </c>
      <c r="K19" s="2">
        <f>SUM(K17:K18)</f>
        <v>301000</v>
      </c>
    </row>
    <row r="20" spans="1:11" x14ac:dyDescent="0.2">
      <c r="F20" s="2">
        <f>SUM(F17:F19)</f>
        <v>8000000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10A4-CF8F-8148-988D-6ABA40E8A0ED}">
  <dimension ref="A1:K20"/>
  <sheetViews>
    <sheetView workbookViewId="0">
      <selection activeCell="D25" sqref="D25"/>
    </sheetView>
  </sheetViews>
  <sheetFormatPr baseColWidth="10" defaultRowHeight="16" x14ac:dyDescent="0.2"/>
  <sheetData>
    <row r="1" spans="1:11" x14ac:dyDescent="0.2">
      <c r="C1" t="s">
        <v>3</v>
      </c>
      <c r="D1" t="s">
        <v>4</v>
      </c>
      <c r="E1" t="s">
        <v>5</v>
      </c>
      <c r="F1" t="s">
        <v>6</v>
      </c>
      <c r="I1" t="s">
        <v>9</v>
      </c>
      <c r="J1" t="s">
        <v>10</v>
      </c>
      <c r="K1" t="s">
        <v>6</v>
      </c>
    </row>
    <row r="2" spans="1:11" x14ac:dyDescent="0.2">
      <c r="A2" s="3">
        <v>46235</v>
      </c>
      <c r="B2">
        <v>1</v>
      </c>
      <c r="C2" t="s">
        <v>0</v>
      </c>
      <c r="D2">
        <v>250</v>
      </c>
      <c r="E2" s="1">
        <v>10000</v>
      </c>
      <c r="F2" s="1">
        <f>D2*E2</f>
        <v>2500000</v>
      </c>
      <c r="H2" t="s">
        <v>7</v>
      </c>
      <c r="I2" s="1">
        <v>200</v>
      </c>
      <c r="J2" s="1">
        <v>990</v>
      </c>
      <c r="K2" s="1">
        <f>I2*J2</f>
        <v>198000</v>
      </c>
    </row>
    <row r="3" spans="1:11" x14ac:dyDescent="0.2">
      <c r="B3">
        <v>2</v>
      </c>
      <c r="C3" t="s">
        <v>1</v>
      </c>
      <c r="D3">
        <v>280</v>
      </c>
      <c r="E3" s="1">
        <v>10000</v>
      </c>
      <c r="F3" s="1">
        <f t="shared" ref="F3:F4" si="0">D3*E3</f>
        <v>2800000</v>
      </c>
      <c r="H3" t="s">
        <v>8</v>
      </c>
      <c r="I3" s="1">
        <v>100</v>
      </c>
      <c r="J3" s="1">
        <v>1030</v>
      </c>
      <c r="K3" s="1">
        <f>I3*J3</f>
        <v>103000</v>
      </c>
    </row>
    <row r="4" spans="1:11" x14ac:dyDescent="0.2">
      <c r="B4">
        <v>3</v>
      </c>
      <c r="C4" t="s">
        <v>2</v>
      </c>
      <c r="D4">
        <v>200</v>
      </c>
      <c r="E4" s="1">
        <v>25000</v>
      </c>
      <c r="F4" s="1">
        <f t="shared" si="0"/>
        <v>5000000</v>
      </c>
      <c r="K4" s="2">
        <f>SUM(K2:K3)</f>
        <v>301000</v>
      </c>
    </row>
    <row r="5" spans="1:11" x14ac:dyDescent="0.2">
      <c r="F5" s="2">
        <f>SUM(F2:F4)</f>
        <v>10300000</v>
      </c>
    </row>
    <row r="7" spans="1:11" x14ac:dyDescent="0.2">
      <c r="A7" s="3">
        <v>46266</v>
      </c>
      <c r="B7">
        <v>1</v>
      </c>
      <c r="C7" t="s">
        <v>0</v>
      </c>
      <c r="D7">
        <v>190</v>
      </c>
      <c r="E7" s="1">
        <v>10000</v>
      </c>
      <c r="F7" s="1">
        <f>D7*E7</f>
        <v>1900000</v>
      </c>
      <c r="H7" t="s">
        <v>7</v>
      </c>
      <c r="I7" s="1">
        <v>200</v>
      </c>
      <c r="J7" s="1">
        <v>990</v>
      </c>
      <c r="K7" s="1">
        <f>I7*J7</f>
        <v>198000</v>
      </c>
    </row>
    <row r="8" spans="1:11" x14ac:dyDescent="0.2">
      <c r="B8">
        <v>2</v>
      </c>
      <c r="C8" t="s">
        <v>1</v>
      </c>
      <c r="D8">
        <v>150</v>
      </c>
      <c r="E8" s="1">
        <v>10000</v>
      </c>
      <c r="F8" s="1">
        <f t="shared" ref="F8:F9" si="1">D8*E8</f>
        <v>1500000</v>
      </c>
      <c r="H8" t="s">
        <v>8</v>
      </c>
      <c r="I8" s="1">
        <v>100</v>
      </c>
      <c r="J8" s="1">
        <v>1030</v>
      </c>
      <c r="K8" s="1">
        <f>I8*J8</f>
        <v>103000</v>
      </c>
    </row>
    <row r="9" spans="1:11" x14ac:dyDescent="0.2">
      <c r="B9">
        <v>3</v>
      </c>
      <c r="C9" t="s">
        <v>2</v>
      </c>
      <c r="D9">
        <v>200</v>
      </c>
      <c r="E9" s="1">
        <v>25000</v>
      </c>
      <c r="F9" s="1">
        <f t="shared" si="1"/>
        <v>5000000</v>
      </c>
      <c r="K9" s="2">
        <f>SUM(K7:K8)</f>
        <v>301000</v>
      </c>
    </row>
    <row r="10" spans="1:11" x14ac:dyDescent="0.2">
      <c r="F10" s="2">
        <f>SUM(F7:F9)</f>
        <v>8400000</v>
      </c>
    </row>
    <row r="12" spans="1:11" x14ac:dyDescent="0.2">
      <c r="A12" s="3">
        <v>46296</v>
      </c>
      <c r="B12">
        <v>1</v>
      </c>
      <c r="C12" t="s">
        <v>0</v>
      </c>
      <c r="D12">
        <v>120</v>
      </c>
      <c r="E12" s="1">
        <v>10000</v>
      </c>
      <c r="F12" s="1">
        <f>D12*E12</f>
        <v>1200000</v>
      </c>
      <c r="H12" t="s">
        <v>7</v>
      </c>
      <c r="I12" s="1">
        <v>200</v>
      </c>
      <c r="J12" s="1">
        <v>990</v>
      </c>
      <c r="K12" s="1">
        <f>I12*J12</f>
        <v>198000</v>
      </c>
    </row>
    <row r="13" spans="1:11" x14ac:dyDescent="0.2">
      <c r="B13">
        <v>2</v>
      </c>
      <c r="C13" t="s">
        <v>1</v>
      </c>
      <c r="D13">
        <v>250</v>
      </c>
      <c r="E13" s="1">
        <v>10000</v>
      </c>
      <c r="F13" s="1">
        <f t="shared" ref="F13:F14" si="2">D13*E13</f>
        <v>2500000</v>
      </c>
      <c r="H13" t="s">
        <v>8</v>
      </c>
      <c r="I13" s="1">
        <v>100</v>
      </c>
      <c r="J13" s="1">
        <v>1030</v>
      </c>
      <c r="K13" s="1">
        <f>I13*J13</f>
        <v>103000</v>
      </c>
    </row>
    <row r="14" spans="1:11" x14ac:dyDescent="0.2">
      <c r="B14">
        <v>3</v>
      </c>
      <c r="C14" t="s">
        <v>2</v>
      </c>
      <c r="D14">
        <v>100</v>
      </c>
      <c r="E14" s="1">
        <v>25000</v>
      </c>
      <c r="F14" s="1">
        <f t="shared" si="2"/>
        <v>2500000</v>
      </c>
      <c r="K14" s="2">
        <f>SUM(K12:K13)</f>
        <v>301000</v>
      </c>
    </row>
    <row r="15" spans="1:11" x14ac:dyDescent="0.2">
      <c r="F15" s="2">
        <f>SUM(F12:F14)</f>
        <v>6200000</v>
      </c>
    </row>
    <row r="17" spans="1:11" x14ac:dyDescent="0.2">
      <c r="A17" s="3">
        <v>46327</v>
      </c>
      <c r="B17">
        <v>1</v>
      </c>
      <c r="C17" t="s">
        <v>0</v>
      </c>
      <c r="D17">
        <v>140</v>
      </c>
      <c r="E17" s="1">
        <v>10000</v>
      </c>
      <c r="F17" s="1">
        <f>D17*E17</f>
        <v>1400000</v>
      </c>
      <c r="H17" t="s">
        <v>7</v>
      </c>
      <c r="I17" s="1">
        <v>200</v>
      </c>
      <c r="J17" s="1">
        <v>990</v>
      </c>
      <c r="K17" s="1">
        <f>I17*J17</f>
        <v>198000</v>
      </c>
    </row>
    <row r="18" spans="1:11" x14ac:dyDescent="0.2">
      <c r="B18">
        <v>2</v>
      </c>
      <c r="C18" t="s">
        <v>1</v>
      </c>
      <c r="D18">
        <v>160</v>
      </c>
      <c r="E18" s="1">
        <v>10000</v>
      </c>
      <c r="F18" s="1">
        <f t="shared" ref="F18:F19" si="3">D18*E18</f>
        <v>1600000</v>
      </c>
      <c r="H18" t="s">
        <v>8</v>
      </c>
      <c r="I18" s="1">
        <v>100</v>
      </c>
      <c r="J18" s="1">
        <v>1030</v>
      </c>
      <c r="K18" s="1">
        <f>I18*J18</f>
        <v>103000</v>
      </c>
    </row>
    <row r="19" spans="1:11" x14ac:dyDescent="0.2">
      <c r="B19">
        <v>3</v>
      </c>
      <c r="C19" t="s">
        <v>2</v>
      </c>
      <c r="D19">
        <v>200</v>
      </c>
      <c r="E19" s="1">
        <v>25000</v>
      </c>
      <c r="F19" s="1">
        <f t="shared" si="3"/>
        <v>5000000</v>
      </c>
      <c r="K19" s="2">
        <f>SUM(K17:K18)</f>
        <v>301000</v>
      </c>
    </row>
    <row r="20" spans="1:11" x14ac:dyDescent="0.2">
      <c r="F20" s="2">
        <f>SUM(F17:F19)</f>
        <v>8000000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F815-A066-D047-B068-069F62CF1520}">
  <dimension ref="A1:E4"/>
  <sheetViews>
    <sheetView workbookViewId="0">
      <selection activeCell="C25" sqref="C25"/>
    </sheetView>
  </sheetViews>
  <sheetFormatPr baseColWidth="10" defaultRowHeight="16" x14ac:dyDescent="0.2"/>
  <cols>
    <col min="2" max="2" width="16.5" customWidth="1"/>
    <col min="3" max="3" width="18.83203125" customWidth="1"/>
  </cols>
  <sheetData>
    <row r="1" spans="1:5" x14ac:dyDescent="0.2">
      <c r="A1" s="5" t="s">
        <v>11</v>
      </c>
      <c r="B1" s="5"/>
      <c r="C1" s="5"/>
      <c r="D1" s="5"/>
      <c r="E1" s="5"/>
    </row>
    <row r="2" spans="1:5" x14ac:dyDescent="0.2">
      <c r="A2" s="5"/>
      <c r="B2" s="5" t="s">
        <v>12</v>
      </c>
      <c r="C2" s="5" t="s">
        <v>15</v>
      </c>
      <c r="D2" s="5" t="s">
        <v>19</v>
      </c>
      <c r="E2" s="5" t="s">
        <v>13</v>
      </c>
    </row>
    <row r="3" spans="1:5" x14ac:dyDescent="0.2">
      <c r="A3" s="5">
        <v>1</v>
      </c>
      <c r="B3" s="5" t="s">
        <v>14</v>
      </c>
      <c r="C3" s="5" t="s">
        <v>16</v>
      </c>
      <c r="D3" s="6">
        <v>46270</v>
      </c>
      <c r="E3" s="7">
        <v>20000000</v>
      </c>
    </row>
    <row r="4" spans="1:5" x14ac:dyDescent="0.2">
      <c r="A4" s="5">
        <v>2</v>
      </c>
      <c r="B4" s="5" t="s">
        <v>17</v>
      </c>
      <c r="C4" s="5" t="s">
        <v>18</v>
      </c>
      <c r="D4" s="6">
        <v>46310</v>
      </c>
      <c r="E4" s="7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</vt:lpstr>
      <vt:lpstr>Month</vt:lpstr>
      <vt:lpstr>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Adema</dc:creator>
  <cp:lastModifiedBy>Stanley Adema</cp:lastModifiedBy>
  <dcterms:created xsi:type="dcterms:W3CDTF">2026-10-21T04:01:30Z</dcterms:created>
  <dcterms:modified xsi:type="dcterms:W3CDTF">2026-10-21T04:25:51Z</dcterms:modified>
</cp:coreProperties>
</file>